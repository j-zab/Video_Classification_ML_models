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videos_n_metadata\for_statistical\"/>
    </mc:Choice>
  </mc:AlternateContent>
  <bookViews>
    <workbookView xWindow="0" yWindow="0" windowWidth="19200" windowHeight="8130" activeTab="1"/>
  </bookViews>
  <sheets>
    <sheet name="Batch 2a" sheetId="1" r:id="rId1"/>
    <sheet name="Batch 3a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7" i="1" l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</calcChain>
</file>

<file path=xl/sharedStrings.xml><?xml version="1.0" encoding="utf-8"?>
<sst xmlns="http://schemas.openxmlformats.org/spreadsheetml/2006/main" count="426" uniqueCount="105">
  <si>
    <t>Batch 2a</t>
  </si>
  <si>
    <t>NB:</t>
  </si>
  <si>
    <t>Total number recorded and screened</t>
  </si>
  <si>
    <t>Red= Strong positive</t>
  </si>
  <si>
    <t>Total number of positives</t>
  </si>
  <si>
    <t>Blue=Weak positive</t>
  </si>
  <si>
    <t>Black= Negative</t>
  </si>
  <si>
    <t>Larvae_ID</t>
  </si>
  <si>
    <t>MB_infection _status</t>
  </si>
  <si>
    <t>18S_Ct</t>
  </si>
  <si>
    <t>18S_Efficiencies</t>
  </si>
  <si>
    <t>R²</t>
  </si>
  <si>
    <t>S7_Ct</t>
  </si>
  <si>
    <t>S7_Efficiencies</t>
  </si>
  <si>
    <t>MB_densities</t>
  </si>
  <si>
    <t>LV 1</t>
  </si>
  <si>
    <t>weak positive</t>
  </si>
  <si>
    <t>LV 2</t>
  </si>
  <si>
    <t>LV 3</t>
  </si>
  <si>
    <t>strong positive</t>
  </si>
  <si>
    <t>LV 4</t>
  </si>
  <si>
    <t>LV 5</t>
  </si>
  <si>
    <t>LV 6</t>
  </si>
  <si>
    <t>LV 7</t>
  </si>
  <si>
    <t>LV 8</t>
  </si>
  <si>
    <t>LV 9</t>
  </si>
  <si>
    <t>LV 10</t>
  </si>
  <si>
    <t>negative</t>
  </si>
  <si>
    <t>LV 11</t>
  </si>
  <si>
    <t>LV 12</t>
  </si>
  <si>
    <t>LV 13</t>
  </si>
  <si>
    <t>LV 14</t>
  </si>
  <si>
    <t>LV 15</t>
  </si>
  <si>
    <t>LV 16</t>
  </si>
  <si>
    <t>LV 17</t>
  </si>
  <si>
    <t>LV 18</t>
  </si>
  <si>
    <t>LV 19</t>
  </si>
  <si>
    <t>LV 20</t>
  </si>
  <si>
    <t>LV 21</t>
  </si>
  <si>
    <t>LV 22</t>
  </si>
  <si>
    <t>LV 23</t>
  </si>
  <si>
    <t>LV 24</t>
  </si>
  <si>
    <t>LV 25</t>
  </si>
  <si>
    <t>LV 26</t>
  </si>
  <si>
    <t>LV 27</t>
  </si>
  <si>
    <t>LV 28</t>
  </si>
  <si>
    <t>LV 29</t>
  </si>
  <si>
    <t>LV 30</t>
  </si>
  <si>
    <t>Mother_infection_status</t>
  </si>
  <si>
    <t>LV_1</t>
  </si>
  <si>
    <t>Positive</t>
  </si>
  <si>
    <t>N/A</t>
  </si>
  <si>
    <t>LV_2</t>
  </si>
  <si>
    <t>Negative</t>
  </si>
  <si>
    <t>LV_3</t>
  </si>
  <si>
    <t>LV_4</t>
  </si>
  <si>
    <t>LV_5</t>
  </si>
  <si>
    <t>LV_6</t>
  </si>
  <si>
    <t>LV_7</t>
  </si>
  <si>
    <t>LV_8</t>
  </si>
  <si>
    <t>LV_9</t>
  </si>
  <si>
    <t>LV_10</t>
  </si>
  <si>
    <t>LV_11</t>
  </si>
  <si>
    <t>LV_12</t>
  </si>
  <si>
    <t>LV_13</t>
  </si>
  <si>
    <t>LV_14</t>
  </si>
  <si>
    <t>LV_15</t>
  </si>
  <si>
    <t>LV_16</t>
  </si>
  <si>
    <t>LV_17</t>
  </si>
  <si>
    <t>LV_18</t>
  </si>
  <si>
    <t>LV_19</t>
  </si>
  <si>
    <t>LV_20</t>
  </si>
  <si>
    <t>LV_21</t>
  </si>
  <si>
    <t>LV_22</t>
  </si>
  <si>
    <t>LV_23</t>
  </si>
  <si>
    <t>LV_24</t>
  </si>
  <si>
    <t>LV_25</t>
  </si>
  <si>
    <t>LV_26</t>
  </si>
  <si>
    <t>LV_27</t>
  </si>
  <si>
    <t>LV_28</t>
  </si>
  <si>
    <t>LV_29</t>
  </si>
  <si>
    <t>LV_30</t>
  </si>
  <si>
    <t>LV_31</t>
  </si>
  <si>
    <t>LV_32</t>
  </si>
  <si>
    <t>LV_33</t>
  </si>
  <si>
    <t>LV_34</t>
  </si>
  <si>
    <t>LV_35</t>
  </si>
  <si>
    <t>LV_36</t>
  </si>
  <si>
    <t>LV_37</t>
  </si>
  <si>
    <t>LV_38</t>
  </si>
  <si>
    <t>LV_39</t>
  </si>
  <si>
    <t>LV_40</t>
  </si>
  <si>
    <t>LV_41</t>
  </si>
  <si>
    <t>LV_42</t>
  </si>
  <si>
    <t>LV_43</t>
  </si>
  <si>
    <t>LV_44</t>
  </si>
  <si>
    <t>LV_45</t>
  </si>
  <si>
    <t>LV_46</t>
  </si>
  <si>
    <t>LV_47</t>
  </si>
  <si>
    <t>LV_48</t>
  </si>
  <si>
    <t>LV_49</t>
  </si>
  <si>
    <t>LV_50</t>
  </si>
  <si>
    <t>Batch 3a</t>
  </si>
  <si>
    <t>Strong positive</t>
  </si>
  <si>
    <t>Weak 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</si>
</sst>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2" borderId="0" xfId="0" applyFont="1" applyFill="1"/>
    <xf numFmtId="0" fontId="0" fillId="3" borderId="0" xfId="0" applyFill="1"/>
    <xf numFmtId="0" fontId="0" fillId="0" borderId="0" xfId="0" applyAlignment="1">
      <alignment horizontal="center"/>
    </xf>
    <xf numFmtId="0" fontId="1" fillId="0" borderId="0" xfId="0" applyFont="1"/>
    <xf numFmtId="0" fontId="0" fillId="4" borderId="0" xfId="0" applyFill="1"/>
    <xf numFmtId="0" fontId="4" fillId="0" borderId="0" xfId="0" applyFont="1"/>
    <xf numFmtId="0" fontId="0" fillId="3" borderId="0" xfId="0" applyFill="1" applyAlignment="1">
      <alignment horizontal="center"/>
    </xf>
    <xf numFmtId="0" fontId="0" fillId="0" borderId="0" xfId="0" applyAlignment="1">
      <alignment horizontal="left"/>
    </xf>
    <xf numFmtId="0" fontId="0" fillId="5" borderId="0" xfId="0" applyFill="1" applyAlignment="1">
      <alignment horizontal="center"/>
    </xf>
    <xf numFmtId="0" fontId="2" fillId="0" borderId="0" xfId="0" applyFont="1" applyAlignment="1">
      <alignment horizontal="left"/>
    </xf>
    <xf numFmtId="0" fontId="0" fillId="4" borderId="0" xfId="0" applyFill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361949</xdr:colOff>
      <xdr:row>1</xdr:row>
      <xdr:rowOff>0</xdr:rowOff>
    </xdr:from>
    <xdr:to>
      <xdr:col>22</xdr:col>
      <xdr:colOff>0</xdr:colOff>
      <xdr:row>22</xdr:row>
      <xdr:rowOff>180976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B7519C-1A64-05BB-BCDD-26A8AF37E0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46" b="15836"/>
        <a:stretch/>
      </xdr:blipFill>
      <xdr:spPr bwMode="auto">
        <a:xfrm>
          <a:off x="8140699" y="184150"/>
          <a:ext cx="7581901" cy="40481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361950</xdr:colOff>
      <xdr:row>1</xdr:row>
      <xdr:rowOff>0</xdr:rowOff>
    </xdr:from>
    <xdr:to>
      <xdr:col>22</xdr:col>
      <xdr:colOff>76199</xdr:colOff>
      <xdr:row>2</xdr:row>
      <xdr:rowOff>28575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CA83909-40E6-BF3D-5898-D9FA00484035}"/>
            </a:ext>
          </a:extLst>
        </xdr:cNvPr>
        <xdr:cNvSpPr txBox="1"/>
      </xdr:nvSpPr>
      <xdr:spPr>
        <a:xfrm rot="10800000" flipV="1">
          <a:off x="8140700" y="184150"/>
          <a:ext cx="7658099" cy="212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 P</a:t>
          </a:r>
          <a:r>
            <a:rPr lang="en-US" sz="1100" baseline="0"/>
            <a:t>           </a:t>
          </a:r>
          <a:r>
            <a:rPr lang="en-US" sz="1100" baseline="0">
              <a:solidFill>
                <a:srgbClr val="00B0F0"/>
              </a:solidFill>
            </a:rPr>
            <a:t>1          2   </a:t>
          </a:r>
          <a:r>
            <a:rPr lang="en-US" sz="1100" baseline="0"/>
            <a:t>     </a:t>
          </a:r>
          <a:r>
            <a:rPr lang="en-US" sz="1100" baseline="0">
              <a:solidFill>
                <a:srgbClr val="FF0000"/>
              </a:solidFill>
            </a:rPr>
            <a:t>3 </a:t>
          </a:r>
          <a:r>
            <a:rPr lang="en-US" sz="1100" baseline="0"/>
            <a:t>         </a:t>
          </a:r>
          <a:r>
            <a:rPr lang="en-US" sz="1100" baseline="0">
              <a:solidFill>
                <a:srgbClr val="00B0F0"/>
              </a:solidFill>
            </a:rPr>
            <a:t>4          5           6        </a:t>
          </a:r>
          <a:r>
            <a:rPr lang="en-US" sz="1100" baseline="0">
              <a:solidFill>
                <a:srgbClr val="FF0000"/>
              </a:solidFill>
            </a:rPr>
            <a:t>7           8        9          </a:t>
          </a:r>
          <a:r>
            <a:rPr lang="en-US" sz="1100" baseline="0"/>
            <a:t>10        </a:t>
          </a:r>
          <a:r>
            <a:rPr lang="en-US" sz="1100" baseline="0">
              <a:solidFill>
                <a:srgbClr val="FF0000"/>
              </a:solidFill>
            </a:rPr>
            <a:t>11</a:t>
          </a:r>
          <a:r>
            <a:rPr lang="en-US" sz="1100" baseline="0"/>
            <a:t>        12       13        </a:t>
          </a:r>
          <a:r>
            <a:rPr lang="en-US" sz="1100" baseline="0">
              <a:solidFill>
                <a:srgbClr val="FF0000"/>
              </a:solidFill>
            </a:rPr>
            <a:t>14 </a:t>
          </a:r>
          <a:r>
            <a:rPr lang="en-US" sz="1100" baseline="0"/>
            <a:t>      </a:t>
          </a:r>
          <a:r>
            <a:rPr lang="en-US" sz="1100" baseline="0">
              <a:solidFill>
                <a:srgbClr val="00B0F0"/>
              </a:solidFill>
            </a:rPr>
            <a:t>15</a:t>
          </a:r>
          <a:r>
            <a:rPr lang="en-US" sz="1100" baseline="0"/>
            <a:t>       16         </a:t>
          </a:r>
          <a:r>
            <a:rPr lang="en-US" sz="1100" baseline="0">
              <a:solidFill>
                <a:srgbClr val="00B0F0"/>
              </a:solidFill>
            </a:rPr>
            <a:t>17</a:t>
          </a:r>
          <a:r>
            <a:rPr lang="en-US" sz="1100" baseline="0"/>
            <a:t>        18       M</a:t>
          </a:r>
          <a:endParaRPr lang="en-US" sz="1100"/>
        </a:p>
      </xdr:txBody>
    </xdr:sp>
    <xdr:clientData/>
  </xdr:twoCellAnchor>
  <xdr:twoCellAnchor>
    <xdr:from>
      <xdr:col>9</xdr:col>
      <xdr:colOff>466725</xdr:colOff>
      <xdr:row>7</xdr:row>
      <xdr:rowOff>38100</xdr:rowOff>
    </xdr:from>
    <xdr:to>
      <xdr:col>21</xdr:col>
      <xdr:colOff>590550</xdr:colOff>
      <xdr:row>8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3E083D0-0D21-D46A-1EB5-4E2CEE63E5E8}"/>
            </a:ext>
          </a:extLst>
        </xdr:cNvPr>
        <xdr:cNvSpPr txBox="1"/>
      </xdr:nvSpPr>
      <xdr:spPr>
        <a:xfrm>
          <a:off x="8245475" y="1327150"/>
          <a:ext cx="7458075" cy="222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 P        19        </a:t>
          </a:r>
          <a:r>
            <a:rPr lang="en-US" sz="1100">
              <a:solidFill>
                <a:srgbClr val="00B0F0"/>
              </a:solidFill>
            </a:rPr>
            <a:t>20 </a:t>
          </a:r>
          <a:r>
            <a:rPr lang="en-US" sz="1100"/>
            <a:t>      21        22        </a:t>
          </a:r>
          <a:r>
            <a:rPr lang="en-US" sz="1100">
              <a:solidFill>
                <a:srgbClr val="00B0F0"/>
              </a:solidFill>
            </a:rPr>
            <a:t>23 </a:t>
          </a:r>
          <a:r>
            <a:rPr lang="en-US" sz="1100"/>
            <a:t>       24       </a:t>
          </a:r>
          <a:r>
            <a:rPr lang="en-US" sz="1100">
              <a:solidFill>
                <a:srgbClr val="00B0F0"/>
              </a:solidFill>
            </a:rPr>
            <a:t>25       26        27      </a:t>
          </a:r>
          <a:r>
            <a:rPr lang="en-US" sz="1100">
              <a:solidFill>
                <a:srgbClr val="FF0000"/>
              </a:solidFill>
            </a:rPr>
            <a:t> 28         </a:t>
          </a:r>
          <a:r>
            <a:rPr lang="en-US" sz="1100"/>
            <a:t>29        </a:t>
          </a:r>
          <a:r>
            <a:rPr lang="en-US" sz="1100">
              <a:solidFill>
                <a:srgbClr val="FF0000"/>
              </a:solidFill>
            </a:rPr>
            <a:t>30</a:t>
          </a:r>
          <a:r>
            <a:rPr lang="en-US" sz="1100"/>
            <a:t>        LVp</a:t>
          </a:r>
          <a:r>
            <a:rPr lang="en-US" sz="1100" baseline="0"/>
            <a:t>      P1       P2       P3         P4        P5</a:t>
          </a:r>
          <a:endParaRPr lang="en-US" sz="1100"/>
        </a:p>
      </xdr:txBody>
    </xdr:sp>
    <xdr:clientData/>
  </xdr:twoCellAnchor>
  <xdr:twoCellAnchor>
    <xdr:from>
      <xdr:col>9</xdr:col>
      <xdr:colOff>361951</xdr:colOff>
      <xdr:row>16</xdr:row>
      <xdr:rowOff>28576</xdr:rowOff>
    </xdr:from>
    <xdr:to>
      <xdr:col>21</xdr:col>
      <xdr:colOff>457200</xdr:colOff>
      <xdr:row>17</xdr:row>
      <xdr:rowOff>85726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56543EA-1FCE-7C8E-41A0-0AB866BBF230}"/>
            </a:ext>
          </a:extLst>
        </xdr:cNvPr>
        <xdr:cNvSpPr txBox="1"/>
      </xdr:nvSpPr>
      <xdr:spPr>
        <a:xfrm>
          <a:off x="8140701" y="2974976"/>
          <a:ext cx="7429499" cy="241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  P          P6        P7</a:t>
          </a:r>
          <a:r>
            <a:rPr lang="en-US" sz="1100" baseline="0"/>
            <a:t>      P8        P9        P10      P11     P12    P13      P14     P15      P16    P17      P18      P19      P20     P21     P22       M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topLeftCell="A4" workbookViewId="0">
      <selection sqref="A1:XFD1048576"/>
    </sheetView>
  </sheetViews>
  <sheetFormatPr defaultRowHeight="14.5" x14ac:dyDescent="0.35"/>
  <cols>
    <col min="1" max="1" width="10.26953125" customWidth="1"/>
    <col min="2" max="2" width="20" bestFit="1" customWidth="1"/>
    <col min="4" max="4" width="14.7265625" customWidth="1"/>
    <col min="5" max="5" width="11.54296875" customWidth="1"/>
    <col min="7" max="7" width="13.81640625" customWidth="1"/>
    <col min="8" max="8" width="11" customWidth="1"/>
    <col min="9" max="9" width="12.54296875" bestFit="1" customWidth="1"/>
    <col min="16" max="16" width="9" customWidth="1"/>
  </cols>
  <sheetData>
    <row r="1" spans="1:9" x14ac:dyDescent="0.35">
      <c r="A1" s="1"/>
      <c r="B1" s="1"/>
    </row>
    <row r="2" spans="1:9" x14ac:dyDescent="0.35">
      <c r="A2" s="2" t="s">
        <v>0</v>
      </c>
      <c r="F2" t="s">
        <v>1</v>
      </c>
    </row>
    <row r="3" spans="1:9" x14ac:dyDescent="0.35">
      <c r="A3" s="3" t="s">
        <v>2</v>
      </c>
      <c r="B3" s="3"/>
      <c r="C3" s="3"/>
      <c r="D3" s="4">
        <v>30</v>
      </c>
      <c r="F3" s="5" t="s">
        <v>3</v>
      </c>
      <c r="G3" s="5"/>
    </row>
    <row r="4" spans="1:9" x14ac:dyDescent="0.35">
      <c r="A4" s="6" t="s">
        <v>4</v>
      </c>
      <c r="B4" s="6"/>
      <c r="C4" s="6"/>
      <c r="D4" s="4">
        <v>20</v>
      </c>
      <c r="F4" s="7" t="s">
        <v>5</v>
      </c>
      <c r="G4" s="7"/>
    </row>
    <row r="5" spans="1:9" x14ac:dyDescent="0.35">
      <c r="F5" t="s">
        <v>6</v>
      </c>
    </row>
    <row r="7" spans="1:9" x14ac:dyDescent="0.35">
      <c r="A7" s="1" t="s">
        <v>7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11</v>
      </c>
      <c r="I7" s="1" t="s">
        <v>14</v>
      </c>
    </row>
    <row r="8" spans="1:9" x14ac:dyDescent="0.35">
      <c r="A8" s="8" t="s">
        <v>15</v>
      </c>
      <c r="B8" t="s">
        <v>16</v>
      </c>
      <c r="C8" s="9">
        <v>-1</v>
      </c>
      <c r="D8" s="9">
        <v>-1</v>
      </c>
      <c r="E8" s="9"/>
      <c r="F8" s="9">
        <v>24.091681092412699</v>
      </c>
      <c r="G8" s="9">
        <v>0.90929722610890695</v>
      </c>
      <c r="H8" s="9">
        <v>0.99917999999999996</v>
      </c>
      <c r="I8" t="e">
        <f>((1+G8)^F8/((1+D8)^C8))</f>
        <v>#DIV/0!</v>
      </c>
    </row>
    <row r="9" spans="1:9" x14ac:dyDescent="0.35">
      <c r="A9" s="8" t="s">
        <v>17</v>
      </c>
      <c r="B9" t="s">
        <v>16</v>
      </c>
      <c r="C9" s="9">
        <v>27.999624608932599</v>
      </c>
      <c r="D9" s="9">
        <v>0.87127013724335101</v>
      </c>
      <c r="E9" s="9">
        <v>0.99897000000000002</v>
      </c>
      <c r="F9" s="9">
        <v>29.075368598537601</v>
      </c>
      <c r="G9" s="9">
        <v>0.87905338609671801</v>
      </c>
      <c r="H9" s="9">
        <v>0.99919999999999998</v>
      </c>
      <c r="I9">
        <f t="shared" ref="I9:I37" si="0">((1+G9)^F9/((1+D9)^C9))</f>
        <v>2.2139172514964209</v>
      </c>
    </row>
    <row r="10" spans="1:9" x14ac:dyDescent="0.35">
      <c r="A10" s="10" t="s">
        <v>18</v>
      </c>
      <c r="B10" t="s">
        <v>19</v>
      </c>
      <c r="C10" s="9">
        <v>26.695723760672301</v>
      </c>
      <c r="D10" s="9">
        <v>0.97315970963252096</v>
      </c>
      <c r="E10" s="9">
        <v>0.99951000000000001</v>
      </c>
      <c r="F10" s="9">
        <v>27.216842435849099</v>
      </c>
      <c r="G10" s="9">
        <v>0.92912566172753797</v>
      </c>
      <c r="H10" s="9">
        <v>0.99931000000000003</v>
      </c>
      <c r="I10">
        <f t="shared" si="0"/>
        <v>0.77097920671542586</v>
      </c>
    </row>
    <row r="11" spans="1:9" x14ac:dyDescent="0.35">
      <c r="A11" s="8" t="s">
        <v>20</v>
      </c>
      <c r="B11" t="s">
        <v>16</v>
      </c>
      <c r="C11" s="9">
        <v>27.9071493333376</v>
      </c>
      <c r="D11" s="9">
        <v>0.86382126656231395</v>
      </c>
      <c r="E11" s="9">
        <v>0.99897999999999998</v>
      </c>
      <c r="F11" s="9">
        <v>-1</v>
      </c>
      <c r="G11" s="9">
        <v>-1</v>
      </c>
      <c r="H11" s="9"/>
      <c r="I11" t="e">
        <f t="shared" si="0"/>
        <v>#DIV/0!</v>
      </c>
    </row>
    <row r="12" spans="1:9" x14ac:dyDescent="0.35">
      <c r="A12" s="8" t="s">
        <v>21</v>
      </c>
      <c r="B12" t="s">
        <v>16</v>
      </c>
      <c r="C12" s="9">
        <v>27.9182774270698</v>
      </c>
      <c r="D12" s="9">
        <v>0.88542838385144196</v>
      </c>
      <c r="E12" s="9">
        <v>0.99904000000000004</v>
      </c>
      <c r="F12" s="9">
        <v>27.283475986175901</v>
      </c>
      <c r="G12" s="9">
        <v>0.938740951525182</v>
      </c>
      <c r="H12" s="9">
        <v>0.99958000000000002</v>
      </c>
      <c r="I12">
        <f t="shared" si="0"/>
        <v>1.4307547419004421</v>
      </c>
    </row>
    <row r="13" spans="1:9" x14ac:dyDescent="0.35">
      <c r="A13" s="8" t="s">
        <v>22</v>
      </c>
      <c r="B13" t="s">
        <v>16</v>
      </c>
      <c r="C13" s="9">
        <v>27.062625085110501</v>
      </c>
      <c r="D13" s="9">
        <v>0.95367799985994095</v>
      </c>
      <c r="E13" s="9">
        <v>0.99870999999999999</v>
      </c>
      <c r="F13" s="9">
        <v>28.308660870023999</v>
      </c>
      <c r="G13" s="9">
        <v>0.91023471821732804</v>
      </c>
      <c r="H13" s="9">
        <v>0.99960000000000004</v>
      </c>
      <c r="I13">
        <f t="shared" si="0"/>
        <v>1.2188316243664761</v>
      </c>
    </row>
    <row r="14" spans="1:9" x14ac:dyDescent="0.35">
      <c r="A14" s="10" t="s">
        <v>23</v>
      </c>
      <c r="B14" t="s">
        <v>19</v>
      </c>
      <c r="C14" s="9">
        <v>25.493435374402502</v>
      </c>
      <c r="D14" s="9">
        <v>0.93767520810146499</v>
      </c>
      <c r="E14" s="9">
        <v>0.99924999999999997</v>
      </c>
      <c r="F14" s="9">
        <v>26.522355046353901</v>
      </c>
      <c r="G14" s="9">
        <v>0.86690194538998</v>
      </c>
      <c r="H14" s="9">
        <v>0.99907000000000001</v>
      </c>
      <c r="I14">
        <f t="shared" si="0"/>
        <v>0.73621004251628852</v>
      </c>
    </row>
    <row r="15" spans="1:9" x14ac:dyDescent="0.35">
      <c r="A15" s="10" t="s">
        <v>24</v>
      </c>
      <c r="B15" t="s">
        <v>19</v>
      </c>
      <c r="C15" s="9">
        <v>26.8551518960133</v>
      </c>
      <c r="D15" s="9">
        <v>0.95711336230048705</v>
      </c>
      <c r="E15" s="9">
        <v>0.99907999999999997</v>
      </c>
      <c r="F15" s="9">
        <v>26.531126315890202</v>
      </c>
      <c r="G15" s="9">
        <v>0.97216337276364695</v>
      </c>
      <c r="H15" s="9">
        <v>0.999</v>
      </c>
      <c r="I15">
        <f t="shared" si="0"/>
        <v>0.98576987702784624</v>
      </c>
    </row>
    <row r="16" spans="1:9" x14ac:dyDescent="0.35">
      <c r="A16" s="10" t="s">
        <v>25</v>
      </c>
      <c r="B16" t="s">
        <v>19</v>
      </c>
      <c r="C16" s="9">
        <v>27.377012416739198</v>
      </c>
      <c r="D16" s="9">
        <v>0.896746859990318</v>
      </c>
      <c r="E16" s="9">
        <v>0.99944</v>
      </c>
      <c r="F16" s="9">
        <v>28.6664907615787</v>
      </c>
      <c r="G16" s="9">
        <v>0.83540314652174996</v>
      </c>
      <c r="H16" s="9">
        <v>0.99948000000000004</v>
      </c>
      <c r="I16">
        <f t="shared" si="0"/>
        <v>0.8895896572959926</v>
      </c>
    </row>
    <row r="17" spans="1:9" x14ac:dyDescent="0.35">
      <c r="A17" s="4" t="s">
        <v>26</v>
      </c>
      <c r="B17" t="s">
        <v>27</v>
      </c>
      <c r="C17" s="9">
        <v>28.141115709611501</v>
      </c>
      <c r="D17" s="9">
        <v>0.81871059009839897</v>
      </c>
      <c r="E17" s="9">
        <v>0.99919000000000002</v>
      </c>
      <c r="F17" s="9">
        <v>28.435268280295201</v>
      </c>
      <c r="G17" s="9">
        <v>0.87268479240636698</v>
      </c>
      <c r="H17" s="9">
        <v>0.99929999999999997</v>
      </c>
      <c r="I17">
        <f t="shared" si="0"/>
        <v>2.7388545933039081</v>
      </c>
    </row>
    <row r="18" spans="1:9" x14ac:dyDescent="0.35">
      <c r="A18" s="10" t="s">
        <v>28</v>
      </c>
      <c r="B18" t="s">
        <v>19</v>
      </c>
      <c r="C18" s="9">
        <v>23.972596305247599</v>
      </c>
      <c r="D18" s="9">
        <v>0.95993879408876104</v>
      </c>
      <c r="E18" s="9">
        <v>0.99844999999999995</v>
      </c>
      <c r="F18" s="9">
        <v>26.4286374190816</v>
      </c>
      <c r="G18" s="9">
        <v>0.90820044384040499</v>
      </c>
      <c r="H18" s="9">
        <v>0.99914000000000003</v>
      </c>
      <c r="I18">
        <f t="shared" si="0"/>
        <v>2.5745305703431041</v>
      </c>
    </row>
    <row r="19" spans="1:9" x14ac:dyDescent="0.35">
      <c r="A19" s="4" t="s">
        <v>29</v>
      </c>
      <c r="B19" t="s">
        <v>27</v>
      </c>
      <c r="C19" s="9">
        <v>28.024293303435101</v>
      </c>
      <c r="D19" s="9">
        <v>0.82591588204773103</v>
      </c>
      <c r="E19" s="9">
        <v>0.99868999999999997</v>
      </c>
      <c r="F19" s="9">
        <v>26.790229749077099</v>
      </c>
      <c r="G19" s="9">
        <v>0.94083413507337199</v>
      </c>
      <c r="H19" s="9">
        <v>0.99877000000000005</v>
      </c>
      <c r="I19">
        <f t="shared" si="0"/>
        <v>2.4404072284546099</v>
      </c>
    </row>
    <row r="20" spans="1:9" x14ac:dyDescent="0.35">
      <c r="A20" s="4" t="s">
        <v>30</v>
      </c>
      <c r="B20" t="s">
        <v>27</v>
      </c>
      <c r="C20" s="9">
        <v>27.495952561513199</v>
      </c>
      <c r="D20" s="9">
        <v>0.92813372707265795</v>
      </c>
      <c r="E20" s="9">
        <v>0.99934999999999996</v>
      </c>
      <c r="F20" s="9">
        <v>29.704086540372298</v>
      </c>
      <c r="G20" s="9">
        <v>0.87269813662279905</v>
      </c>
      <c r="H20" s="9">
        <v>0.99916000000000005</v>
      </c>
      <c r="I20">
        <f t="shared" si="0"/>
        <v>1.791797304842528</v>
      </c>
    </row>
    <row r="21" spans="1:9" x14ac:dyDescent="0.35">
      <c r="A21" s="10" t="s">
        <v>31</v>
      </c>
      <c r="B21" t="s">
        <v>19</v>
      </c>
      <c r="C21" s="9">
        <v>25.7574384915028</v>
      </c>
      <c r="D21" s="9">
        <v>0.96216575728103604</v>
      </c>
      <c r="E21" s="9">
        <v>0.99961</v>
      </c>
      <c r="F21" s="9">
        <v>27.527364019462301</v>
      </c>
      <c r="G21" s="9">
        <v>0.89799711696668205</v>
      </c>
      <c r="H21" s="9">
        <v>0.99936000000000003</v>
      </c>
      <c r="I21">
        <f t="shared" si="0"/>
        <v>1.320143907485168</v>
      </c>
    </row>
    <row r="22" spans="1:9" x14ac:dyDescent="0.35">
      <c r="A22" s="8" t="s">
        <v>32</v>
      </c>
      <c r="B22" t="s">
        <v>16</v>
      </c>
      <c r="C22" s="9">
        <v>27.2954973178154</v>
      </c>
      <c r="D22" s="9">
        <v>0.91165037532334003</v>
      </c>
      <c r="E22" s="9">
        <v>0.99905999999999995</v>
      </c>
      <c r="F22" s="9">
        <v>28.8327215633349</v>
      </c>
      <c r="G22" s="9">
        <v>0.92530703365363598</v>
      </c>
      <c r="H22" s="9">
        <v>0.99907999999999997</v>
      </c>
      <c r="I22">
        <f t="shared" si="0"/>
        <v>3.3244910658111202</v>
      </c>
    </row>
    <row r="23" spans="1:9" x14ac:dyDescent="0.35">
      <c r="A23" s="4" t="s">
        <v>33</v>
      </c>
      <c r="B23" t="s">
        <v>27</v>
      </c>
      <c r="C23" s="9">
        <v>26.852463414818299</v>
      </c>
      <c r="D23" s="9">
        <v>0.82868612768965799</v>
      </c>
      <c r="E23" s="9">
        <v>0.99924000000000002</v>
      </c>
      <c r="F23" s="9">
        <v>26.3510704501752</v>
      </c>
      <c r="G23" s="9">
        <v>0.89797248592051404</v>
      </c>
      <c r="H23" s="9">
        <v>0.99924999999999997</v>
      </c>
      <c r="I23">
        <f t="shared" si="0"/>
        <v>1.9685869609472839</v>
      </c>
    </row>
    <row r="24" spans="1:9" x14ac:dyDescent="0.35">
      <c r="A24" s="8" t="s">
        <v>34</v>
      </c>
      <c r="B24" t="s">
        <v>16</v>
      </c>
      <c r="C24" s="9">
        <v>26.731060837351102</v>
      </c>
      <c r="D24" s="9">
        <v>0.83727510956061102</v>
      </c>
      <c r="E24" s="9">
        <v>0.99848999999999999</v>
      </c>
      <c r="F24" s="9">
        <v>28.580764838365599</v>
      </c>
      <c r="G24" s="9">
        <v>0.91989861271113105</v>
      </c>
      <c r="H24" s="9">
        <v>0.99946000000000002</v>
      </c>
      <c r="I24">
        <f t="shared" si="0"/>
        <v>10.830635577643216</v>
      </c>
    </row>
    <row r="25" spans="1:9" x14ac:dyDescent="0.35">
      <c r="A25" s="4" t="s">
        <v>35</v>
      </c>
      <c r="B25" t="s">
        <v>27</v>
      </c>
      <c r="C25" s="9">
        <v>-1</v>
      </c>
      <c r="D25" s="9">
        <v>-1</v>
      </c>
      <c r="E25" s="9"/>
      <c r="F25" s="9">
        <v>24.780898686844299</v>
      </c>
      <c r="G25" s="9">
        <v>0.85192376566124595</v>
      </c>
      <c r="H25" s="9">
        <v>0.99882000000000004</v>
      </c>
      <c r="I25" t="e">
        <f t="shared" si="0"/>
        <v>#DIV/0!</v>
      </c>
    </row>
    <row r="26" spans="1:9" x14ac:dyDescent="0.35">
      <c r="A26" s="4" t="s">
        <v>36</v>
      </c>
      <c r="B26" t="s">
        <v>27</v>
      </c>
      <c r="C26" s="9">
        <v>27.060575034886298</v>
      </c>
      <c r="D26" s="9">
        <v>0.83743440724276197</v>
      </c>
      <c r="E26" s="9">
        <v>0.99812999999999996</v>
      </c>
      <c r="F26" s="9">
        <v>28.752005783734099</v>
      </c>
      <c r="G26" s="9">
        <v>0.88426434103394402</v>
      </c>
      <c r="H26" s="9">
        <v>0.99941000000000002</v>
      </c>
      <c r="I26">
        <f t="shared" si="0"/>
        <v>5.7697237946693356</v>
      </c>
    </row>
    <row r="27" spans="1:9" x14ac:dyDescent="0.35">
      <c r="A27" s="8" t="s">
        <v>37</v>
      </c>
      <c r="B27" t="s">
        <v>16</v>
      </c>
      <c r="C27" s="9">
        <v>26.967334727233901</v>
      </c>
      <c r="D27" s="9">
        <v>0.80610649305149196</v>
      </c>
      <c r="E27" s="9">
        <v>0.99875000000000003</v>
      </c>
      <c r="F27" s="9">
        <v>22.4649781319319</v>
      </c>
      <c r="G27" s="9">
        <v>0.86035727062966605</v>
      </c>
      <c r="H27" s="9">
        <v>0.99897000000000002</v>
      </c>
      <c r="I27">
        <f t="shared" si="0"/>
        <v>0.13576639159391596</v>
      </c>
    </row>
    <row r="28" spans="1:9" x14ac:dyDescent="0.35">
      <c r="A28" s="4" t="s">
        <v>38</v>
      </c>
      <c r="B28" t="s">
        <v>27</v>
      </c>
      <c r="C28" s="9">
        <v>26.954238953346</v>
      </c>
      <c r="D28" s="9">
        <v>0.84384740554052295</v>
      </c>
      <c r="E28" s="9">
        <v>0.99888999999999994</v>
      </c>
      <c r="F28" s="9">
        <v>29.031176739374501</v>
      </c>
      <c r="G28" s="9">
        <v>0.84453853073014395</v>
      </c>
      <c r="H28" s="9">
        <v>0.99926000000000004</v>
      </c>
      <c r="I28">
        <f t="shared" si="0"/>
        <v>3.6026263180794205</v>
      </c>
    </row>
    <row r="29" spans="1:9" x14ac:dyDescent="0.35">
      <c r="A29" s="4" t="s">
        <v>39</v>
      </c>
      <c r="B29" t="s">
        <v>27</v>
      </c>
      <c r="C29" s="9">
        <v>26.5810428867178</v>
      </c>
      <c r="D29" s="9">
        <v>0.87144944227056498</v>
      </c>
      <c r="E29" s="9">
        <v>0.99853999999999998</v>
      </c>
      <c r="F29" s="9">
        <v>28.008671664218799</v>
      </c>
      <c r="G29" s="9">
        <v>0.91422063813070098</v>
      </c>
      <c r="H29" s="9">
        <v>0.99902000000000002</v>
      </c>
      <c r="I29">
        <f t="shared" si="0"/>
        <v>4.6072677949540184</v>
      </c>
    </row>
    <row r="30" spans="1:9" x14ac:dyDescent="0.35">
      <c r="A30" s="8" t="s">
        <v>40</v>
      </c>
      <c r="B30" t="s">
        <v>16</v>
      </c>
      <c r="C30" s="9">
        <v>27.011261001909801</v>
      </c>
      <c r="D30" s="9">
        <v>0.82890494890319799</v>
      </c>
      <c r="E30" s="9">
        <v>0.99883</v>
      </c>
      <c r="F30" s="9">
        <v>27.564890062543501</v>
      </c>
      <c r="G30" s="9">
        <v>0.86788451662945298</v>
      </c>
      <c r="H30" s="9">
        <v>0.99897000000000002</v>
      </c>
      <c r="I30">
        <f t="shared" si="0"/>
        <v>2.4981605536110223</v>
      </c>
    </row>
    <row r="31" spans="1:9" x14ac:dyDescent="0.35">
      <c r="A31" s="4" t="s">
        <v>41</v>
      </c>
      <c r="B31" t="s">
        <v>27</v>
      </c>
      <c r="C31" s="9">
        <v>27.325044002051399</v>
      </c>
      <c r="D31" s="9">
        <v>0.79210831780283097</v>
      </c>
      <c r="E31" s="9">
        <v>0.99846000000000001</v>
      </c>
      <c r="F31" s="9">
        <v>25.455915916827699</v>
      </c>
      <c r="G31" s="9">
        <v>0.95594249608014703</v>
      </c>
      <c r="H31" s="9">
        <v>0.99939999999999996</v>
      </c>
      <c r="I31">
        <f t="shared" si="0"/>
        <v>3.1156345268024914</v>
      </c>
    </row>
    <row r="32" spans="1:9" x14ac:dyDescent="0.35">
      <c r="A32" s="8" t="s">
        <v>42</v>
      </c>
      <c r="B32" t="s">
        <v>16</v>
      </c>
      <c r="C32" s="9">
        <v>26.8214841258261</v>
      </c>
      <c r="D32" s="9">
        <v>0.87873877541752998</v>
      </c>
      <c r="E32" s="9">
        <v>0.99861</v>
      </c>
      <c r="F32" s="9">
        <v>26.294811197275699</v>
      </c>
      <c r="G32" s="9">
        <v>0.83449013422977603</v>
      </c>
      <c r="H32" s="9">
        <v>0.99934999999999996</v>
      </c>
      <c r="I32">
        <f t="shared" si="0"/>
        <v>0.38333979561195924</v>
      </c>
    </row>
    <row r="33" spans="1:9" x14ac:dyDescent="0.35">
      <c r="A33" s="8" t="s">
        <v>43</v>
      </c>
      <c r="B33" t="s">
        <v>16</v>
      </c>
      <c r="C33" s="9">
        <v>26.808485029277801</v>
      </c>
      <c r="D33" s="9">
        <v>0.91552061585229005</v>
      </c>
      <c r="E33" s="9">
        <v>0.99773999999999996</v>
      </c>
      <c r="F33" s="9">
        <v>26.146821976909798</v>
      </c>
      <c r="G33" s="9">
        <v>0.89822207864244896</v>
      </c>
      <c r="H33" s="9">
        <v>0.99863999999999997</v>
      </c>
      <c r="I33">
        <f t="shared" si="0"/>
        <v>0.51310674511757937</v>
      </c>
    </row>
    <row r="34" spans="1:9" x14ac:dyDescent="0.35">
      <c r="A34" s="8" t="s">
        <v>44</v>
      </c>
      <c r="B34" t="s">
        <v>16</v>
      </c>
      <c r="C34" s="9">
        <v>26.346543817510302</v>
      </c>
      <c r="D34" s="9">
        <v>0.91605249345147199</v>
      </c>
      <c r="E34" s="9">
        <v>0.99861999999999995</v>
      </c>
      <c r="F34" s="9">
        <v>26.576167246100098</v>
      </c>
      <c r="G34" s="9">
        <v>0.81613111824311202</v>
      </c>
      <c r="H34" s="9">
        <v>0.99829000000000001</v>
      </c>
      <c r="I34">
        <f t="shared" si="0"/>
        <v>0.27969216682217168</v>
      </c>
    </row>
    <row r="35" spans="1:9" x14ac:dyDescent="0.35">
      <c r="A35" s="10" t="s">
        <v>45</v>
      </c>
      <c r="B35" t="s">
        <v>19</v>
      </c>
      <c r="C35" s="9">
        <v>25.192343570109799</v>
      </c>
      <c r="D35" s="9">
        <v>0.95183223699338404</v>
      </c>
      <c r="E35" s="9">
        <v>0.99927999999999995</v>
      </c>
      <c r="F35" s="9">
        <v>26.4346597031298</v>
      </c>
      <c r="G35" s="9">
        <v>0.81088594086250099</v>
      </c>
      <c r="H35" s="9">
        <v>0.99866999999999995</v>
      </c>
      <c r="I35">
        <f t="shared" si="0"/>
        <v>0.31647286533109947</v>
      </c>
    </row>
    <row r="36" spans="1:9" x14ac:dyDescent="0.35">
      <c r="A36" s="4" t="s">
        <v>46</v>
      </c>
      <c r="B36" t="s">
        <v>27</v>
      </c>
      <c r="C36" s="9">
        <v>26.933499736372902</v>
      </c>
      <c r="D36" s="9">
        <v>0.83788536179976103</v>
      </c>
      <c r="E36" s="9">
        <v>0.99897000000000002</v>
      </c>
      <c r="F36" s="9">
        <v>27.5192064050539</v>
      </c>
      <c r="G36" s="9">
        <v>0.81386360409367098</v>
      </c>
      <c r="H36" s="9">
        <v>0.99880000000000002</v>
      </c>
      <c r="I36">
        <f t="shared" si="0"/>
        <v>0.99442958132738857</v>
      </c>
    </row>
    <row r="37" spans="1:9" x14ac:dyDescent="0.35">
      <c r="A37" s="10" t="s">
        <v>47</v>
      </c>
      <c r="B37" t="s">
        <v>19</v>
      </c>
      <c r="C37" s="9">
        <v>26.223915332416301</v>
      </c>
      <c r="D37" s="9">
        <v>0.94414884489638096</v>
      </c>
      <c r="E37" s="9">
        <v>0.99861</v>
      </c>
      <c r="F37" s="9">
        <v>27.611201601821801</v>
      </c>
      <c r="G37" s="9">
        <v>0.85539581540655796</v>
      </c>
      <c r="H37" s="9">
        <v>0.99887000000000004</v>
      </c>
      <c r="I37">
        <f t="shared" si="0"/>
        <v>0.69221030568750874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tabSelected="1" workbookViewId="0">
      <selection activeCell="C22" sqref="C22"/>
    </sheetView>
  </sheetViews>
  <sheetFormatPr defaultRowHeight="14.5" x14ac:dyDescent="0.35"/>
  <cols>
    <col min="2" max="2" width="22.81640625" customWidth="1"/>
    <col min="3" max="3" width="18.453125" customWidth="1"/>
    <col min="4" max="4" width="8.54296875" style="9" customWidth="1"/>
    <col min="5" max="5" width="13.453125" style="9" customWidth="1"/>
    <col min="6" max="7" width="8.7265625" style="9"/>
    <col min="8" max="8" width="14" style="9" customWidth="1"/>
    <col min="9" max="9" width="8.7265625" style="9"/>
    <col min="10" max="10" width="11.81640625" style="13" customWidth="1"/>
  </cols>
  <sheetData>
    <row r="1" spans="1:10" x14ac:dyDescent="0.35">
      <c r="A1" s="2" t="s">
        <v>102</v>
      </c>
      <c r="B1" s="2"/>
    </row>
    <row r="2" spans="1:10" x14ac:dyDescent="0.35">
      <c r="A2" s="3" t="s">
        <v>2</v>
      </c>
      <c r="B2" s="3"/>
      <c r="C2">
        <v>50</v>
      </c>
      <c r="G2" s="14"/>
      <c r="H2" s="14"/>
      <c r="I2" s="14"/>
    </row>
    <row r="3" spans="1:10" x14ac:dyDescent="0.35">
      <c r="A3" s="6" t="s">
        <v>4</v>
      </c>
      <c r="B3" s="6"/>
      <c r="C3">
        <v>14</v>
      </c>
      <c r="G3" s="15"/>
      <c r="H3" s="15"/>
      <c r="I3" s="15"/>
    </row>
    <row r="6" spans="1:10" x14ac:dyDescent="0.35">
      <c r="A6" s="1" t="s">
        <v>7</v>
      </c>
      <c r="B6" s="1" t="s">
        <v>48</v>
      </c>
      <c r="C6" s="1" t="s">
        <v>8</v>
      </c>
      <c r="D6" s="11" t="s">
        <v>9</v>
      </c>
      <c r="E6" s="11" t="s">
        <v>10</v>
      </c>
      <c r="F6" s="11" t="s">
        <v>11</v>
      </c>
      <c r="G6" s="11" t="s">
        <v>12</v>
      </c>
      <c r="H6" s="11" t="s">
        <v>13</v>
      </c>
      <c r="I6" s="11" t="s">
        <v>11</v>
      </c>
      <c r="J6" s="16" t="s">
        <v>14</v>
      </c>
    </row>
    <row r="7" spans="1:10" x14ac:dyDescent="0.35">
      <c r="A7" t="s">
        <v>49</v>
      </c>
      <c r="B7" t="s">
        <v>50</v>
      </c>
      <c r="C7" s="5" t="s">
        <v>103</v>
      </c>
      <c r="D7" s="9">
        <v>20.504119689338399</v>
      </c>
      <c r="E7" s="9">
        <v>0.919373936820993</v>
      </c>
      <c r="F7" s="9">
        <v>0.99817999999999996</v>
      </c>
      <c r="G7" s="12">
        <v>-1</v>
      </c>
      <c r="H7" s="12">
        <v>-1</v>
      </c>
      <c r="J7" s="13" t="s">
        <v>51</v>
      </c>
    </row>
    <row r="8" spans="1:10" x14ac:dyDescent="0.35">
      <c r="A8" t="s">
        <v>52</v>
      </c>
      <c r="B8" t="s">
        <v>50</v>
      </c>
      <c r="C8" t="s">
        <v>53</v>
      </c>
      <c r="D8" s="9">
        <v>26.379522416558601</v>
      </c>
      <c r="E8" s="9">
        <v>0.66347098410602701</v>
      </c>
      <c r="F8" s="9">
        <v>0.99021999999999999</v>
      </c>
      <c r="G8" s="12">
        <v>-1</v>
      </c>
      <c r="H8" s="12">
        <v>-1</v>
      </c>
      <c r="J8" s="13" t="s">
        <v>51</v>
      </c>
    </row>
    <row r="9" spans="1:10" x14ac:dyDescent="0.35">
      <c r="A9" t="s">
        <v>54</v>
      </c>
      <c r="B9" t="s">
        <v>50</v>
      </c>
      <c r="C9" s="7" t="s">
        <v>104</v>
      </c>
      <c r="D9" s="9">
        <v>24.395147028002899</v>
      </c>
      <c r="E9" s="9">
        <v>0.72119510342656001</v>
      </c>
      <c r="F9" s="9">
        <v>0.99731999999999998</v>
      </c>
      <c r="G9" s="9">
        <v>25.172545149024</v>
      </c>
      <c r="H9" s="9">
        <v>0.90397922343013204</v>
      </c>
      <c r="I9" s="9">
        <v>0.99922999999999995</v>
      </c>
      <c r="J9" s="13">
        <v>19.350824387673541</v>
      </c>
    </row>
    <row r="10" spans="1:10" x14ac:dyDescent="0.35">
      <c r="A10" t="s">
        <v>55</v>
      </c>
      <c r="B10" t="s">
        <v>50</v>
      </c>
      <c r="C10" s="7" t="s">
        <v>104</v>
      </c>
      <c r="D10" s="9">
        <v>23.244112469182198</v>
      </c>
      <c r="E10" s="9">
        <v>0.73861811562478996</v>
      </c>
      <c r="F10" s="9">
        <v>0.99390000000000001</v>
      </c>
      <c r="G10" s="9">
        <v>23.627737819929401</v>
      </c>
      <c r="H10" s="9">
        <v>0.80722990045734799</v>
      </c>
      <c r="I10" s="9">
        <v>0.99961999999999995</v>
      </c>
      <c r="J10" s="13">
        <v>3.0854027265999799</v>
      </c>
    </row>
    <row r="11" spans="1:10" x14ac:dyDescent="0.35">
      <c r="A11" t="s">
        <v>56</v>
      </c>
      <c r="B11" t="s">
        <v>50</v>
      </c>
      <c r="C11" t="s">
        <v>53</v>
      </c>
      <c r="D11" s="9">
        <v>24.3002277358081</v>
      </c>
      <c r="E11" s="9">
        <v>0.95356639350628203</v>
      </c>
      <c r="F11" s="9">
        <v>0.99953999999999998</v>
      </c>
      <c r="G11" s="9">
        <v>27.913480734507701</v>
      </c>
      <c r="H11" s="9">
        <v>0.90263817804033497</v>
      </c>
      <c r="I11" s="9">
        <v>0.99924000000000002</v>
      </c>
      <c r="J11" s="13" t="s">
        <v>51</v>
      </c>
    </row>
    <row r="12" spans="1:10" x14ac:dyDescent="0.35">
      <c r="A12" t="s">
        <v>57</v>
      </c>
      <c r="B12" t="s">
        <v>50</v>
      </c>
      <c r="C12" s="7" t="s">
        <v>104</v>
      </c>
      <c r="D12" s="9">
        <v>19.6303914675761</v>
      </c>
      <c r="E12" s="9">
        <v>1.09839122225148</v>
      </c>
      <c r="F12" s="9">
        <v>0.99536999999999998</v>
      </c>
      <c r="G12" s="9">
        <v>24.8014953482122</v>
      </c>
      <c r="H12" s="9">
        <v>1.15238881810237</v>
      </c>
      <c r="I12" s="9">
        <v>0.99636000000000002</v>
      </c>
      <c r="J12" s="13">
        <v>86.731055320506044</v>
      </c>
    </row>
    <row r="13" spans="1:10" x14ac:dyDescent="0.35">
      <c r="A13" t="s">
        <v>58</v>
      </c>
      <c r="B13" t="s">
        <v>50</v>
      </c>
      <c r="C13" s="5" t="s">
        <v>103</v>
      </c>
      <c r="D13" s="9">
        <v>18.8233915927749</v>
      </c>
      <c r="E13" s="9">
        <v>1.2359278077502001</v>
      </c>
      <c r="F13" s="9">
        <v>0.99846999999999997</v>
      </c>
      <c r="G13" s="9">
        <v>24.169974404242101</v>
      </c>
      <c r="H13" s="9">
        <v>0.87277467061880398</v>
      </c>
      <c r="I13" s="9">
        <v>0.99980000000000002</v>
      </c>
      <c r="J13" s="13">
        <v>1.0185623629188607</v>
      </c>
    </row>
    <row r="14" spans="1:10" x14ac:dyDescent="0.35">
      <c r="A14" t="s">
        <v>59</v>
      </c>
      <c r="B14" t="s">
        <v>50</v>
      </c>
      <c r="C14" s="5" t="s">
        <v>103</v>
      </c>
      <c r="D14" s="9">
        <v>17.668432048337099</v>
      </c>
      <c r="E14" s="9">
        <v>1.1530313814273401</v>
      </c>
      <c r="F14" s="9">
        <v>0.99661</v>
      </c>
      <c r="G14" s="9">
        <v>23.763261055327501</v>
      </c>
      <c r="H14" s="9">
        <v>1.0880179173461699</v>
      </c>
      <c r="I14" s="9">
        <v>0.99560999999999999</v>
      </c>
      <c r="J14" s="13">
        <v>51.695186935570284</v>
      </c>
    </row>
    <row r="15" spans="1:10" x14ac:dyDescent="0.35">
      <c r="A15" t="s">
        <v>60</v>
      </c>
      <c r="B15" t="s">
        <v>50</v>
      </c>
      <c r="C15" s="5" t="s">
        <v>103</v>
      </c>
      <c r="D15" s="9">
        <v>23.989897948024201</v>
      </c>
      <c r="E15" s="9">
        <v>0.70778108658233596</v>
      </c>
      <c r="F15" s="9">
        <v>0.99643999999999999</v>
      </c>
      <c r="G15" s="9">
        <v>25.1039898501013</v>
      </c>
      <c r="H15" s="9">
        <v>0.95141862408333699</v>
      </c>
      <c r="I15" s="9">
        <v>0.99736000000000002</v>
      </c>
      <c r="J15" s="13">
        <v>51.633301051836774</v>
      </c>
    </row>
    <row r="16" spans="1:10" x14ac:dyDescent="0.35">
      <c r="A16" t="s">
        <v>61</v>
      </c>
      <c r="B16" t="s">
        <v>50</v>
      </c>
      <c r="C16" t="s">
        <v>53</v>
      </c>
      <c r="D16" s="9">
        <v>23.884834849215</v>
      </c>
      <c r="E16" s="9">
        <v>0.98970762963233005</v>
      </c>
      <c r="F16" s="9">
        <v>0.99858999999999998</v>
      </c>
      <c r="G16" s="9">
        <v>28.490298980931701</v>
      </c>
      <c r="H16" s="9">
        <v>1.1565068718364999</v>
      </c>
      <c r="I16" s="9">
        <v>0.99819999999999998</v>
      </c>
      <c r="J16" s="13" t="s">
        <v>51</v>
      </c>
    </row>
    <row r="17" spans="1:10" x14ac:dyDescent="0.35">
      <c r="A17" t="s">
        <v>62</v>
      </c>
      <c r="B17" t="s">
        <v>50</v>
      </c>
      <c r="C17" s="7" t="s">
        <v>104</v>
      </c>
      <c r="D17" s="9">
        <v>23.6197091395264</v>
      </c>
      <c r="E17" s="9">
        <v>1.06330556680633</v>
      </c>
      <c r="F17" s="9">
        <v>0.99972000000000005</v>
      </c>
      <c r="G17" s="9">
        <v>25.541836147761899</v>
      </c>
      <c r="H17" s="9">
        <v>1.0478049689501101</v>
      </c>
      <c r="I17" s="9">
        <v>0.99834999999999996</v>
      </c>
      <c r="J17" s="13">
        <v>3.3188121304323142</v>
      </c>
    </row>
    <row r="18" spans="1:10" x14ac:dyDescent="0.35">
      <c r="A18" t="s">
        <v>63</v>
      </c>
      <c r="B18" t="s">
        <v>50</v>
      </c>
      <c r="C18" s="5" t="s">
        <v>103</v>
      </c>
      <c r="D18" s="9">
        <v>22.730363887334398</v>
      </c>
      <c r="E18" s="9">
        <v>0.80691591541158403</v>
      </c>
      <c r="F18" s="9">
        <v>0.99692999999999998</v>
      </c>
      <c r="G18" s="9">
        <v>23.858655166644301</v>
      </c>
      <c r="H18" s="9">
        <v>0.85707549694074503</v>
      </c>
      <c r="I18" s="9">
        <v>0.99870999999999999</v>
      </c>
      <c r="J18" s="13">
        <v>3.7464403281791112</v>
      </c>
    </row>
    <row r="19" spans="1:10" x14ac:dyDescent="0.35">
      <c r="A19" t="s">
        <v>64</v>
      </c>
      <c r="B19" t="s">
        <v>50</v>
      </c>
      <c r="C19" t="s">
        <v>53</v>
      </c>
      <c r="D19" s="12">
        <v>-1</v>
      </c>
      <c r="E19" s="12">
        <v>-1</v>
      </c>
      <c r="G19" s="9">
        <v>23.323896869275099</v>
      </c>
      <c r="H19" s="9">
        <v>0.897470445843778</v>
      </c>
      <c r="I19" s="9">
        <v>0.99917999999999996</v>
      </c>
      <c r="J19" s="13" t="s">
        <v>51</v>
      </c>
    </row>
    <row r="20" spans="1:10" x14ac:dyDescent="0.35">
      <c r="A20" t="s">
        <v>65</v>
      </c>
      <c r="B20" t="s">
        <v>50</v>
      </c>
      <c r="C20" s="5" t="s">
        <v>103</v>
      </c>
      <c r="D20" s="9">
        <v>19.698020465513999</v>
      </c>
      <c r="E20" s="9">
        <v>1.11206014599678</v>
      </c>
      <c r="F20" s="9">
        <v>0.99804000000000004</v>
      </c>
      <c r="G20" s="9">
        <v>23.1901834601878</v>
      </c>
      <c r="H20" s="9">
        <v>0.92957941156096302</v>
      </c>
      <c r="I20" s="9">
        <v>0.998</v>
      </c>
      <c r="J20" s="13">
        <v>1.674404555946392</v>
      </c>
    </row>
    <row r="21" spans="1:10" x14ac:dyDescent="0.35">
      <c r="A21" t="s">
        <v>66</v>
      </c>
      <c r="B21" t="s">
        <v>50</v>
      </c>
      <c r="C21" s="5" t="s">
        <v>103</v>
      </c>
      <c r="D21" s="9">
        <v>19.8096139158468</v>
      </c>
      <c r="E21" s="9">
        <v>1.1014103770794399</v>
      </c>
      <c r="F21" s="9">
        <v>0.99782000000000004</v>
      </c>
      <c r="G21" s="9">
        <v>23.057188003871701</v>
      </c>
      <c r="H21" s="9">
        <v>0.89512773946873603</v>
      </c>
      <c r="I21" s="9">
        <v>0.99912999999999996</v>
      </c>
      <c r="J21" s="13">
        <v>1.0297859418078148</v>
      </c>
    </row>
    <row r="22" spans="1:10" x14ac:dyDescent="0.35">
      <c r="A22" t="s">
        <v>67</v>
      </c>
      <c r="B22" t="s">
        <v>50</v>
      </c>
      <c r="C22" t="s">
        <v>53</v>
      </c>
      <c r="D22" s="9">
        <v>18.079410316024301</v>
      </c>
      <c r="E22" s="9">
        <v>1.12144636435901</v>
      </c>
      <c r="F22" s="9">
        <v>0.99560999999999999</v>
      </c>
      <c r="G22" s="9">
        <v>24.645414202043199</v>
      </c>
      <c r="H22" s="9">
        <v>0.91678063871028503</v>
      </c>
      <c r="I22" s="9">
        <v>0.99982000000000004</v>
      </c>
      <c r="J22" s="13" t="s">
        <v>51</v>
      </c>
    </row>
    <row r="23" spans="1:10" x14ac:dyDescent="0.35">
      <c r="A23" t="s">
        <v>68</v>
      </c>
      <c r="B23" t="s">
        <v>50</v>
      </c>
      <c r="C23" s="7" t="s">
        <v>104</v>
      </c>
      <c r="D23" s="9">
        <v>21.4588977372489</v>
      </c>
      <c r="E23" s="9">
        <v>0.950564757063037</v>
      </c>
      <c r="F23" s="9">
        <v>0.99934999999999996</v>
      </c>
      <c r="G23" s="9">
        <v>23.613629141933501</v>
      </c>
      <c r="H23" s="9">
        <v>0.82246327033760902</v>
      </c>
      <c r="I23" s="9">
        <v>0.99994000000000005</v>
      </c>
      <c r="J23" s="13">
        <v>0.84835591688642398</v>
      </c>
    </row>
    <row r="24" spans="1:10" x14ac:dyDescent="0.35">
      <c r="A24" t="s">
        <v>69</v>
      </c>
      <c r="B24" t="s">
        <v>50</v>
      </c>
      <c r="C24" t="s">
        <v>53</v>
      </c>
      <c r="D24" s="9">
        <v>18.467691807722499</v>
      </c>
      <c r="E24" s="9">
        <v>1.16070784108443</v>
      </c>
      <c r="F24" s="9">
        <v>0.99789000000000005</v>
      </c>
      <c r="G24" s="9">
        <v>25.0253601684675</v>
      </c>
      <c r="H24" s="9">
        <v>0.85876967143795802</v>
      </c>
      <c r="I24" s="9">
        <v>0.99953999999999998</v>
      </c>
      <c r="J24" s="13" t="s">
        <v>51</v>
      </c>
    </row>
    <row r="25" spans="1:10" x14ac:dyDescent="0.35">
      <c r="A25" t="s">
        <v>70</v>
      </c>
      <c r="B25" t="s">
        <v>50</v>
      </c>
      <c r="C25" t="s">
        <v>53</v>
      </c>
      <c r="D25" s="9">
        <v>17.921357329172501</v>
      </c>
      <c r="E25" s="9">
        <v>1.1586358290584899</v>
      </c>
      <c r="F25" s="9">
        <v>0.99585000000000001</v>
      </c>
      <c r="G25" s="9">
        <v>26.275328410192198</v>
      </c>
      <c r="H25" s="9">
        <v>0.99354861724339505</v>
      </c>
      <c r="I25" s="9">
        <v>0.99931000000000003</v>
      </c>
      <c r="J25" s="13" t="s">
        <v>51</v>
      </c>
    </row>
    <row r="26" spans="1:10" x14ac:dyDescent="0.35">
      <c r="A26" t="s">
        <v>71</v>
      </c>
      <c r="B26" t="s">
        <v>50</v>
      </c>
      <c r="C26" t="s">
        <v>53</v>
      </c>
      <c r="D26" s="9">
        <v>24.1874080553768</v>
      </c>
      <c r="E26" s="9">
        <v>1.02316747969291</v>
      </c>
      <c r="F26" s="9">
        <v>0.99909000000000003</v>
      </c>
      <c r="G26" s="9">
        <v>27.262808121841701</v>
      </c>
      <c r="H26" s="9">
        <v>1.0586883097452</v>
      </c>
      <c r="I26" s="9">
        <v>0.99812000000000001</v>
      </c>
      <c r="J26" s="13" t="s">
        <v>51</v>
      </c>
    </row>
    <row r="27" spans="1:10" x14ac:dyDescent="0.35">
      <c r="A27" t="s">
        <v>72</v>
      </c>
      <c r="B27" t="s">
        <v>50</v>
      </c>
      <c r="C27" t="s">
        <v>53</v>
      </c>
      <c r="D27" s="9">
        <v>24.424865167445201</v>
      </c>
      <c r="E27" s="9">
        <v>0.94704227025977805</v>
      </c>
      <c r="F27" s="9">
        <v>0.99963000000000002</v>
      </c>
      <c r="G27" s="9">
        <v>27.2200080514184</v>
      </c>
      <c r="H27" s="9">
        <v>1.14438646984349</v>
      </c>
      <c r="I27" s="9">
        <v>0.99853999999999998</v>
      </c>
      <c r="J27" s="13" t="s">
        <v>51</v>
      </c>
    </row>
    <row r="28" spans="1:10" x14ac:dyDescent="0.35">
      <c r="A28" t="s">
        <v>73</v>
      </c>
      <c r="B28" t="s">
        <v>50</v>
      </c>
      <c r="C28" s="7" t="s">
        <v>104</v>
      </c>
      <c r="D28" s="9">
        <v>23.522659811236199</v>
      </c>
      <c r="E28" s="9">
        <v>1.1080162021292701</v>
      </c>
      <c r="F28" s="9">
        <v>0.99917</v>
      </c>
      <c r="G28" s="9">
        <v>25.8643364685298</v>
      </c>
      <c r="H28" s="9">
        <v>1.0570767334554201</v>
      </c>
      <c r="I28" s="9">
        <v>0.99739999999999995</v>
      </c>
      <c r="J28" s="13">
        <v>3.0453660973189467</v>
      </c>
    </row>
    <row r="29" spans="1:10" x14ac:dyDescent="0.35">
      <c r="A29" t="s">
        <v>74</v>
      </c>
      <c r="B29" t="s">
        <v>50</v>
      </c>
      <c r="C29" t="s">
        <v>53</v>
      </c>
      <c r="D29" s="9">
        <v>24.1310808539295</v>
      </c>
      <c r="E29" s="9">
        <v>1.00472167056388</v>
      </c>
      <c r="F29" s="9">
        <v>0.99919999999999998</v>
      </c>
      <c r="G29" s="9">
        <v>27.0613848111336</v>
      </c>
      <c r="H29" s="9">
        <v>1.0171996281370399</v>
      </c>
      <c r="I29" s="9">
        <v>0.99931000000000003</v>
      </c>
      <c r="J29" s="13" t="s">
        <v>51</v>
      </c>
    </row>
    <row r="30" spans="1:10" x14ac:dyDescent="0.35">
      <c r="A30" t="s">
        <v>75</v>
      </c>
      <c r="B30" t="s">
        <v>50</v>
      </c>
      <c r="C30" t="s">
        <v>53</v>
      </c>
      <c r="D30" s="9">
        <v>19.6147650779297</v>
      </c>
      <c r="E30" s="9">
        <v>0.92779212553836199</v>
      </c>
      <c r="F30" s="9">
        <v>0.99436999999999998</v>
      </c>
      <c r="G30" s="9">
        <v>26.281820761376999</v>
      </c>
      <c r="H30" s="9">
        <v>1.13365032913055</v>
      </c>
      <c r="I30" s="9">
        <v>0.99729999999999996</v>
      </c>
      <c r="J30" s="13" t="s">
        <v>51</v>
      </c>
    </row>
    <row r="31" spans="1:10" x14ac:dyDescent="0.35">
      <c r="A31" t="s">
        <v>76</v>
      </c>
      <c r="B31" t="s">
        <v>50</v>
      </c>
      <c r="C31" s="5" t="s">
        <v>103</v>
      </c>
      <c r="D31" s="9">
        <v>20.779235595017099</v>
      </c>
      <c r="E31" s="9">
        <v>0.96983105349462795</v>
      </c>
      <c r="F31" s="9">
        <v>0.99904000000000004</v>
      </c>
      <c r="G31" s="9">
        <v>24.808449712980199</v>
      </c>
      <c r="H31" s="9">
        <v>0.922436600832367</v>
      </c>
      <c r="I31" s="9">
        <v>0.99972000000000005</v>
      </c>
      <c r="J31" s="13">
        <v>8.3930456838889054</v>
      </c>
    </row>
    <row r="32" spans="1:10" x14ac:dyDescent="0.35">
      <c r="A32" t="s">
        <v>77</v>
      </c>
      <c r="B32" t="s">
        <v>53</v>
      </c>
      <c r="C32" t="s">
        <v>53</v>
      </c>
      <c r="D32" s="9" t="s">
        <v>51</v>
      </c>
      <c r="E32" s="9" t="s">
        <v>51</v>
      </c>
      <c r="F32" s="9" t="s">
        <v>51</v>
      </c>
      <c r="G32" s="9" t="s">
        <v>51</v>
      </c>
      <c r="H32" s="9" t="s">
        <v>51</v>
      </c>
      <c r="I32" s="9" t="s">
        <v>51</v>
      </c>
      <c r="J32" s="13" t="s">
        <v>51</v>
      </c>
    </row>
    <row r="33" spans="1:10" x14ac:dyDescent="0.35">
      <c r="A33" t="s">
        <v>78</v>
      </c>
      <c r="B33" t="s">
        <v>53</v>
      </c>
      <c r="C33" t="s">
        <v>53</v>
      </c>
      <c r="D33" s="9" t="s">
        <v>51</v>
      </c>
      <c r="E33" s="9" t="s">
        <v>51</v>
      </c>
      <c r="F33" s="9" t="s">
        <v>51</v>
      </c>
      <c r="G33" s="9" t="s">
        <v>51</v>
      </c>
      <c r="H33" s="9" t="s">
        <v>51</v>
      </c>
      <c r="I33" s="9" t="s">
        <v>51</v>
      </c>
      <c r="J33" s="13" t="s">
        <v>51</v>
      </c>
    </row>
    <row r="34" spans="1:10" x14ac:dyDescent="0.35">
      <c r="A34" t="s">
        <v>79</v>
      </c>
      <c r="B34" t="s">
        <v>53</v>
      </c>
      <c r="C34" t="s">
        <v>53</v>
      </c>
      <c r="D34" s="9" t="s">
        <v>51</v>
      </c>
      <c r="E34" s="9" t="s">
        <v>51</v>
      </c>
      <c r="F34" s="9" t="s">
        <v>51</v>
      </c>
      <c r="G34" s="9" t="s">
        <v>51</v>
      </c>
      <c r="H34" s="9" t="s">
        <v>51</v>
      </c>
      <c r="I34" s="9" t="s">
        <v>51</v>
      </c>
      <c r="J34" s="13" t="s">
        <v>51</v>
      </c>
    </row>
    <row r="35" spans="1:10" x14ac:dyDescent="0.35">
      <c r="A35" t="s">
        <v>80</v>
      </c>
      <c r="B35" t="s">
        <v>53</v>
      </c>
      <c r="C35" t="s">
        <v>53</v>
      </c>
      <c r="D35" s="9" t="s">
        <v>51</v>
      </c>
      <c r="E35" s="9" t="s">
        <v>51</v>
      </c>
      <c r="F35" s="9" t="s">
        <v>51</v>
      </c>
      <c r="G35" s="9" t="s">
        <v>51</v>
      </c>
      <c r="H35" s="9" t="s">
        <v>51</v>
      </c>
      <c r="I35" s="9" t="s">
        <v>51</v>
      </c>
      <c r="J35" s="13" t="s">
        <v>51</v>
      </c>
    </row>
    <row r="36" spans="1:10" x14ac:dyDescent="0.35">
      <c r="A36" t="s">
        <v>81</v>
      </c>
      <c r="B36" t="s">
        <v>53</v>
      </c>
      <c r="C36" t="s">
        <v>53</v>
      </c>
      <c r="D36" s="9" t="s">
        <v>51</v>
      </c>
      <c r="E36" s="9" t="s">
        <v>51</v>
      </c>
      <c r="F36" s="9" t="s">
        <v>51</v>
      </c>
      <c r="G36" s="9" t="s">
        <v>51</v>
      </c>
      <c r="H36" s="9" t="s">
        <v>51</v>
      </c>
      <c r="I36" s="9" t="s">
        <v>51</v>
      </c>
      <c r="J36" s="13" t="s">
        <v>51</v>
      </c>
    </row>
    <row r="37" spans="1:10" x14ac:dyDescent="0.35">
      <c r="A37" t="s">
        <v>82</v>
      </c>
      <c r="B37" t="s">
        <v>53</v>
      </c>
      <c r="C37" t="s">
        <v>53</v>
      </c>
      <c r="D37" s="9" t="s">
        <v>51</v>
      </c>
      <c r="E37" s="9" t="s">
        <v>51</v>
      </c>
      <c r="F37" s="9" t="s">
        <v>51</v>
      </c>
      <c r="G37" s="9" t="s">
        <v>51</v>
      </c>
      <c r="H37" s="9" t="s">
        <v>51</v>
      </c>
      <c r="I37" s="9" t="s">
        <v>51</v>
      </c>
      <c r="J37" s="13" t="s">
        <v>51</v>
      </c>
    </row>
    <row r="38" spans="1:10" x14ac:dyDescent="0.35">
      <c r="A38" t="s">
        <v>83</v>
      </c>
      <c r="B38" t="s">
        <v>53</v>
      </c>
      <c r="C38" t="s">
        <v>53</v>
      </c>
      <c r="D38" s="9" t="s">
        <v>51</v>
      </c>
      <c r="E38" s="9" t="s">
        <v>51</v>
      </c>
      <c r="F38" s="9" t="s">
        <v>51</v>
      </c>
      <c r="G38" s="9" t="s">
        <v>51</v>
      </c>
      <c r="H38" s="9" t="s">
        <v>51</v>
      </c>
      <c r="I38" s="9" t="s">
        <v>51</v>
      </c>
      <c r="J38" s="13" t="s">
        <v>51</v>
      </c>
    </row>
    <row r="39" spans="1:10" x14ac:dyDescent="0.35">
      <c r="A39" t="s">
        <v>84</v>
      </c>
      <c r="B39" t="s">
        <v>53</v>
      </c>
      <c r="C39" t="s">
        <v>53</v>
      </c>
      <c r="D39" s="9" t="s">
        <v>51</v>
      </c>
      <c r="E39" s="9" t="s">
        <v>51</v>
      </c>
      <c r="F39" s="9" t="s">
        <v>51</v>
      </c>
      <c r="G39" s="9" t="s">
        <v>51</v>
      </c>
      <c r="H39" s="9" t="s">
        <v>51</v>
      </c>
      <c r="I39" s="9" t="s">
        <v>51</v>
      </c>
      <c r="J39" s="13" t="s">
        <v>51</v>
      </c>
    </row>
    <row r="40" spans="1:10" x14ac:dyDescent="0.35">
      <c r="A40" t="s">
        <v>85</v>
      </c>
      <c r="B40" t="s">
        <v>53</v>
      </c>
      <c r="C40" t="s">
        <v>53</v>
      </c>
      <c r="D40" s="9" t="s">
        <v>51</v>
      </c>
      <c r="E40" s="9" t="s">
        <v>51</v>
      </c>
      <c r="F40" s="9" t="s">
        <v>51</v>
      </c>
      <c r="G40" s="9" t="s">
        <v>51</v>
      </c>
      <c r="H40" s="9" t="s">
        <v>51</v>
      </c>
      <c r="I40" s="9" t="s">
        <v>51</v>
      </c>
      <c r="J40" s="13" t="s">
        <v>51</v>
      </c>
    </row>
    <row r="41" spans="1:10" x14ac:dyDescent="0.35">
      <c r="A41" t="s">
        <v>86</v>
      </c>
      <c r="B41" t="s">
        <v>53</v>
      </c>
      <c r="C41" t="s">
        <v>53</v>
      </c>
      <c r="D41" s="9" t="s">
        <v>51</v>
      </c>
      <c r="E41" s="9" t="s">
        <v>51</v>
      </c>
      <c r="F41" s="9" t="s">
        <v>51</v>
      </c>
      <c r="G41" s="9" t="s">
        <v>51</v>
      </c>
      <c r="H41" s="9" t="s">
        <v>51</v>
      </c>
      <c r="I41" s="9" t="s">
        <v>51</v>
      </c>
      <c r="J41" s="13" t="s">
        <v>51</v>
      </c>
    </row>
    <row r="42" spans="1:10" x14ac:dyDescent="0.35">
      <c r="A42" t="s">
        <v>87</v>
      </c>
      <c r="B42" t="s">
        <v>53</v>
      </c>
      <c r="C42" t="s">
        <v>53</v>
      </c>
      <c r="D42" s="9" t="s">
        <v>51</v>
      </c>
      <c r="E42" s="9" t="s">
        <v>51</v>
      </c>
      <c r="F42" s="9" t="s">
        <v>51</v>
      </c>
      <c r="G42" s="9" t="s">
        <v>51</v>
      </c>
      <c r="H42" s="9" t="s">
        <v>51</v>
      </c>
      <c r="I42" s="9" t="s">
        <v>51</v>
      </c>
      <c r="J42" s="13" t="s">
        <v>51</v>
      </c>
    </row>
    <row r="43" spans="1:10" x14ac:dyDescent="0.35">
      <c r="A43" t="s">
        <v>88</v>
      </c>
      <c r="B43" t="s">
        <v>53</v>
      </c>
      <c r="C43" t="s">
        <v>53</v>
      </c>
      <c r="D43" s="9" t="s">
        <v>51</v>
      </c>
      <c r="E43" s="9" t="s">
        <v>51</v>
      </c>
      <c r="F43" s="9" t="s">
        <v>51</v>
      </c>
      <c r="G43" s="9" t="s">
        <v>51</v>
      </c>
      <c r="H43" s="9" t="s">
        <v>51</v>
      </c>
      <c r="I43" s="9" t="s">
        <v>51</v>
      </c>
      <c r="J43" s="13" t="s">
        <v>51</v>
      </c>
    </row>
    <row r="44" spans="1:10" x14ac:dyDescent="0.35">
      <c r="A44" t="s">
        <v>89</v>
      </c>
      <c r="B44" t="s">
        <v>53</v>
      </c>
      <c r="C44" t="s">
        <v>53</v>
      </c>
      <c r="D44" s="9" t="s">
        <v>51</v>
      </c>
      <c r="E44" s="9" t="s">
        <v>51</v>
      </c>
      <c r="F44" s="9" t="s">
        <v>51</v>
      </c>
      <c r="G44" s="9" t="s">
        <v>51</v>
      </c>
      <c r="H44" s="9" t="s">
        <v>51</v>
      </c>
      <c r="I44" s="9" t="s">
        <v>51</v>
      </c>
      <c r="J44" s="13" t="s">
        <v>51</v>
      </c>
    </row>
    <row r="45" spans="1:10" x14ac:dyDescent="0.35">
      <c r="A45" t="s">
        <v>90</v>
      </c>
      <c r="B45" t="s">
        <v>53</v>
      </c>
      <c r="C45" t="s">
        <v>53</v>
      </c>
      <c r="D45" s="9" t="s">
        <v>51</v>
      </c>
      <c r="E45" s="9" t="s">
        <v>51</v>
      </c>
      <c r="F45" s="9" t="s">
        <v>51</v>
      </c>
      <c r="G45" s="9" t="s">
        <v>51</v>
      </c>
      <c r="H45" s="9" t="s">
        <v>51</v>
      </c>
      <c r="I45" s="9" t="s">
        <v>51</v>
      </c>
      <c r="J45" s="13" t="s">
        <v>51</v>
      </c>
    </row>
    <row r="46" spans="1:10" x14ac:dyDescent="0.35">
      <c r="A46" t="s">
        <v>91</v>
      </c>
      <c r="B46" t="s">
        <v>53</v>
      </c>
      <c r="C46" t="s">
        <v>53</v>
      </c>
      <c r="D46" s="9" t="s">
        <v>51</v>
      </c>
      <c r="E46" s="9" t="s">
        <v>51</v>
      </c>
      <c r="F46" s="9" t="s">
        <v>51</v>
      </c>
      <c r="G46" s="9" t="s">
        <v>51</v>
      </c>
      <c r="H46" s="9" t="s">
        <v>51</v>
      </c>
      <c r="I46" s="9" t="s">
        <v>51</v>
      </c>
      <c r="J46" s="13" t="s">
        <v>51</v>
      </c>
    </row>
    <row r="47" spans="1:10" x14ac:dyDescent="0.35">
      <c r="A47" t="s">
        <v>92</v>
      </c>
      <c r="B47" t="s">
        <v>53</v>
      </c>
      <c r="C47" t="s">
        <v>53</v>
      </c>
      <c r="D47" s="9" t="s">
        <v>51</v>
      </c>
      <c r="E47" s="9" t="s">
        <v>51</v>
      </c>
      <c r="F47" s="9" t="s">
        <v>51</v>
      </c>
      <c r="G47" s="9" t="s">
        <v>51</v>
      </c>
      <c r="H47" s="9" t="s">
        <v>51</v>
      </c>
      <c r="I47" s="9" t="s">
        <v>51</v>
      </c>
      <c r="J47" s="13" t="s">
        <v>51</v>
      </c>
    </row>
    <row r="48" spans="1:10" x14ac:dyDescent="0.35">
      <c r="A48" t="s">
        <v>93</v>
      </c>
      <c r="B48" t="s">
        <v>53</v>
      </c>
      <c r="C48" t="s">
        <v>53</v>
      </c>
      <c r="D48" s="9" t="s">
        <v>51</v>
      </c>
      <c r="E48" s="9" t="s">
        <v>51</v>
      </c>
      <c r="F48" s="9" t="s">
        <v>51</v>
      </c>
      <c r="G48" s="9" t="s">
        <v>51</v>
      </c>
      <c r="H48" s="9" t="s">
        <v>51</v>
      </c>
      <c r="I48" s="9" t="s">
        <v>51</v>
      </c>
      <c r="J48" s="13" t="s">
        <v>51</v>
      </c>
    </row>
    <row r="49" spans="1:10" x14ac:dyDescent="0.35">
      <c r="A49" t="s">
        <v>94</v>
      </c>
      <c r="B49" t="s">
        <v>53</v>
      </c>
      <c r="C49" t="s">
        <v>53</v>
      </c>
      <c r="D49" s="9" t="s">
        <v>51</v>
      </c>
      <c r="E49" s="9" t="s">
        <v>51</v>
      </c>
      <c r="F49" s="9" t="s">
        <v>51</v>
      </c>
      <c r="G49" s="9" t="s">
        <v>51</v>
      </c>
      <c r="H49" s="9" t="s">
        <v>51</v>
      </c>
      <c r="I49" s="9" t="s">
        <v>51</v>
      </c>
      <c r="J49" s="13" t="s">
        <v>51</v>
      </c>
    </row>
    <row r="50" spans="1:10" x14ac:dyDescent="0.35">
      <c r="A50" t="s">
        <v>95</v>
      </c>
      <c r="B50" t="s">
        <v>53</v>
      </c>
      <c r="C50" t="s">
        <v>53</v>
      </c>
      <c r="D50" s="9" t="s">
        <v>51</v>
      </c>
      <c r="E50" s="9" t="s">
        <v>51</v>
      </c>
      <c r="F50" s="9" t="s">
        <v>51</v>
      </c>
      <c r="G50" s="9" t="s">
        <v>51</v>
      </c>
      <c r="H50" s="9" t="s">
        <v>51</v>
      </c>
      <c r="I50" s="9" t="s">
        <v>51</v>
      </c>
      <c r="J50" s="13" t="s">
        <v>51</v>
      </c>
    </row>
    <row r="51" spans="1:10" x14ac:dyDescent="0.35">
      <c r="A51" t="s">
        <v>96</v>
      </c>
      <c r="B51" t="s">
        <v>53</v>
      </c>
      <c r="C51" t="s">
        <v>53</v>
      </c>
      <c r="D51" s="9" t="s">
        <v>51</v>
      </c>
      <c r="E51" s="9" t="s">
        <v>51</v>
      </c>
      <c r="F51" s="9" t="s">
        <v>51</v>
      </c>
      <c r="G51" s="9" t="s">
        <v>51</v>
      </c>
      <c r="H51" s="9" t="s">
        <v>51</v>
      </c>
      <c r="I51" s="9" t="s">
        <v>51</v>
      </c>
      <c r="J51" s="13" t="s">
        <v>51</v>
      </c>
    </row>
    <row r="52" spans="1:10" x14ac:dyDescent="0.35">
      <c r="A52" t="s">
        <v>97</v>
      </c>
      <c r="B52" t="s">
        <v>53</v>
      </c>
      <c r="C52" t="s">
        <v>53</v>
      </c>
      <c r="D52" s="9" t="s">
        <v>51</v>
      </c>
      <c r="E52" s="9" t="s">
        <v>51</v>
      </c>
      <c r="F52" s="9" t="s">
        <v>51</v>
      </c>
      <c r="G52" s="9" t="s">
        <v>51</v>
      </c>
      <c r="H52" s="9" t="s">
        <v>51</v>
      </c>
      <c r="I52" s="9" t="s">
        <v>51</v>
      </c>
      <c r="J52" s="13" t="s">
        <v>51</v>
      </c>
    </row>
    <row r="53" spans="1:10" x14ac:dyDescent="0.35">
      <c r="A53" t="s">
        <v>98</v>
      </c>
      <c r="B53" t="s">
        <v>53</v>
      </c>
      <c r="C53" t="s">
        <v>53</v>
      </c>
      <c r="D53" s="9" t="s">
        <v>51</v>
      </c>
      <c r="E53" s="9" t="s">
        <v>51</v>
      </c>
      <c r="F53" s="9" t="s">
        <v>51</v>
      </c>
      <c r="G53" s="9" t="s">
        <v>51</v>
      </c>
      <c r="H53" s="9" t="s">
        <v>51</v>
      </c>
      <c r="I53" s="9" t="s">
        <v>51</v>
      </c>
      <c r="J53" s="13" t="s">
        <v>51</v>
      </c>
    </row>
    <row r="54" spans="1:10" x14ac:dyDescent="0.35">
      <c r="A54" t="s">
        <v>99</v>
      </c>
      <c r="B54" t="s">
        <v>53</v>
      </c>
      <c r="C54" t="s">
        <v>53</v>
      </c>
      <c r="D54" s="9" t="s">
        <v>51</v>
      </c>
      <c r="E54" s="9" t="s">
        <v>51</v>
      </c>
      <c r="F54" s="9" t="s">
        <v>51</v>
      </c>
      <c r="G54" s="9" t="s">
        <v>51</v>
      </c>
      <c r="H54" s="9" t="s">
        <v>51</v>
      </c>
      <c r="I54" s="9" t="s">
        <v>51</v>
      </c>
      <c r="J54" s="13" t="s">
        <v>51</v>
      </c>
    </row>
    <row r="55" spans="1:10" x14ac:dyDescent="0.35">
      <c r="A55" t="s">
        <v>100</v>
      </c>
      <c r="B55" t="s">
        <v>53</v>
      </c>
      <c r="C55" t="s">
        <v>53</v>
      </c>
      <c r="D55" s="9" t="s">
        <v>51</v>
      </c>
      <c r="E55" s="9" t="s">
        <v>51</v>
      </c>
      <c r="F55" s="9" t="s">
        <v>51</v>
      </c>
      <c r="G55" s="9" t="s">
        <v>51</v>
      </c>
      <c r="H55" s="9" t="s">
        <v>51</v>
      </c>
      <c r="I55" s="9" t="s">
        <v>51</v>
      </c>
      <c r="J55" s="13" t="s">
        <v>51</v>
      </c>
    </row>
    <row r="56" spans="1:10" x14ac:dyDescent="0.35">
      <c r="A56" t="s">
        <v>101</v>
      </c>
      <c r="B56" t="s">
        <v>53</v>
      </c>
      <c r="C56" t="s">
        <v>53</v>
      </c>
      <c r="D56" s="9" t="s">
        <v>51</v>
      </c>
      <c r="E56" s="9" t="s">
        <v>51</v>
      </c>
      <c r="F56" s="9" t="s">
        <v>51</v>
      </c>
      <c r="G56" s="9" t="s">
        <v>51</v>
      </c>
      <c r="H56" s="9" t="s">
        <v>51</v>
      </c>
      <c r="I56" s="9" t="s">
        <v>51</v>
      </c>
      <c r="J56" s="1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Batch 2a</vt:lpstr>
      <vt:lpstr>Batch 3a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Job Zablon</dc:creator>
  <cp:lastModifiedBy>Job Zablon</cp:lastModifiedBy>
  <dcterms:created xsi:type="dcterms:W3CDTF">2026-04-27T22:30:08Z</dcterms:created>
  <dcterms:modified xsi:type="dcterms:W3CDTF">2026-05-24T21:13:52Z</dcterms:modified>
</cp:coreProperties>
</file>